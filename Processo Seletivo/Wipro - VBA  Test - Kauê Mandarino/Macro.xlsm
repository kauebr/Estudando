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nda\OneDrive\Documents\GitHub\Estudando\Processo Seletivo\Wipro - VBA  Test\"/>
    </mc:Choice>
  </mc:AlternateContent>
  <xr:revisionPtr revIDLastSave="0" documentId="13_ncr:1_{746E08EB-F794-4313-AAD7-106ED98B788A}" xr6:coauthVersionLast="47" xr6:coauthVersionMax="47" xr10:uidLastSave="{00000000-0000-0000-0000-000000000000}"/>
  <bookViews>
    <workbookView xWindow="-120" yWindow="-120" windowWidth="20730" windowHeight="11040" activeTab="1" xr2:uid="{78748752-99FF-4E5A-AB02-16C69DC16981}"/>
  </bookViews>
  <sheets>
    <sheet name="Sheet1" sheetId="2" r:id="rId1"/>
    <sheet name="Sheet2" sheetId="1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2" l="1"/>
  <c r="B21" i="2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B8" i="2" s="1"/>
  <c r="I7" i="1"/>
  <c r="I6" i="1"/>
  <c r="I5" i="1"/>
  <c r="I4" i="1"/>
  <c r="L8" i="1"/>
  <c r="D13" i="2"/>
  <c r="C13" i="2"/>
  <c r="B13" i="2"/>
  <c r="A13" i="2"/>
  <c r="G5" i="1"/>
  <c r="H5" i="1" s="1"/>
  <c r="G6" i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H6" i="1"/>
  <c r="G4" i="1"/>
  <c r="H4" i="1" s="1"/>
  <c r="B9" i="2" l="1"/>
  <c r="B22" i="2"/>
  <c r="C8" i="2"/>
  <c r="C22" i="2"/>
  <c r="L9" i="1"/>
  <c r="M9" i="1" s="1"/>
  <c r="L10" i="1"/>
  <c r="M10" i="1" s="1"/>
  <c r="L11" i="1"/>
  <c r="B23" i="2" l="1"/>
</calcChain>
</file>

<file path=xl/sharedStrings.xml><?xml version="1.0" encoding="utf-8"?>
<sst xmlns="http://schemas.openxmlformats.org/spreadsheetml/2006/main" count="107" uniqueCount="81">
  <si>
    <t>Avaliaçao VBA</t>
  </si>
  <si>
    <t>TURMA A</t>
  </si>
  <si>
    <t>Kauê Mandarino</t>
  </si>
  <si>
    <t>ID</t>
  </si>
  <si>
    <t>ALUNO</t>
  </si>
  <si>
    <t>01BIM</t>
  </si>
  <si>
    <t>02BIM</t>
  </si>
  <si>
    <t>03BIM</t>
  </si>
  <si>
    <t>04BIM</t>
  </si>
  <si>
    <t>MÉDIA</t>
  </si>
  <si>
    <t>STATUS</t>
  </si>
  <si>
    <t>01A</t>
  </si>
  <si>
    <t>Aluno01</t>
  </si>
  <si>
    <t>02A</t>
  </si>
  <si>
    <t>Aluno02</t>
  </si>
  <si>
    <t>03A</t>
  </si>
  <si>
    <t>Aluno03</t>
  </si>
  <si>
    <t>04A</t>
  </si>
  <si>
    <t>Aluno04</t>
  </si>
  <si>
    <t>05A</t>
  </si>
  <si>
    <t>Aluno05</t>
  </si>
  <si>
    <t>06A</t>
  </si>
  <si>
    <t>Aluno06</t>
  </si>
  <si>
    <t>07A</t>
  </si>
  <si>
    <t>Aluno07</t>
  </si>
  <si>
    <t>08A</t>
  </si>
  <si>
    <t>Aluno08</t>
  </si>
  <si>
    <t>09A</t>
  </si>
  <si>
    <t>Aluno09</t>
  </si>
  <si>
    <t>10A</t>
  </si>
  <si>
    <t>Aluno10</t>
  </si>
  <si>
    <t>11A</t>
  </si>
  <si>
    <t>Aluno11</t>
  </si>
  <si>
    <t>12A</t>
  </si>
  <si>
    <t>Aluno12</t>
  </si>
  <si>
    <t>13A</t>
  </si>
  <si>
    <t>Aluno13</t>
  </si>
  <si>
    <t>14A</t>
  </si>
  <si>
    <t>Aluno14</t>
  </si>
  <si>
    <t>01B</t>
  </si>
  <si>
    <t>02B</t>
  </si>
  <si>
    <t>03B</t>
  </si>
  <si>
    <t>04B</t>
  </si>
  <si>
    <t>05B</t>
  </si>
  <si>
    <t>06B</t>
  </si>
  <si>
    <t>07B</t>
  </si>
  <si>
    <t>01C</t>
  </si>
  <si>
    <t>02C</t>
  </si>
  <si>
    <t>03C</t>
  </si>
  <si>
    <t>04C</t>
  </si>
  <si>
    <t>05C</t>
  </si>
  <si>
    <t>06C</t>
  </si>
  <si>
    <t>07C</t>
  </si>
  <si>
    <t>08C</t>
  </si>
  <si>
    <t>09C</t>
  </si>
  <si>
    <t>10C</t>
  </si>
  <si>
    <t>Consulta</t>
  </si>
  <si>
    <t>Nome:</t>
  </si>
  <si>
    <t>Turma</t>
  </si>
  <si>
    <t>Selecione o Código do Aluno:</t>
  </si>
  <si>
    <t>Média</t>
  </si>
  <si>
    <t>Turma:</t>
  </si>
  <si>
    <t>NOTAS</t>
  </si>
  <si>
    <t>*Escolha o código do aluna na lista</t>
  </si>
  <si>
    <t>e o sistema irá te retornar o relatório</t>
  </si>
  <si>
    <t>Indicadores do Aluno:</t>
  </si>
  <si>
    <t>Aprovados</t>
  </si>
  <si>
    <t>Total</t>
  </si>
  <si>
    <t>%</t>
  </si>
  <si>
    <t>Matriculados</t>
  </si>
  <si>
    <t>Reprovados</t>
  </si>
  <si>
    <t>Selecione o Código da Turma</t>
  </si>
  <si>
    <t>Consulta Indicadores Turma</t>
  </si>
  <si>
    <t>Desvio</t>
  </si>
  <si>
    <t>Indicadores da Tuma:</t>
  </si>
  <si>
    <t>Status:</t>
  </si>
  <si>
    <t>Nº Alunos</t>
  </si>
  <si>
    <t>Média Geral</t>
  </si>
  <si>
    <t>C</t>
  </si>
  <si>
    <t>Relatório Geral</t>
  </si>
  <si>
    <t>*Escolha o código da turma na lista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</si>
</sst>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2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double">
        <color rgb="FF00B0F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thin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/>
      <bottom/>
      <diagonal/>
    </border>
    <border>
      <left style="medium">
        <color theme="1"/>
      </left>
      <right style="thin">
        <color theme="1"/>
      </right>
      <top/>
      <bottom style="medium">
        <color indexed="64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medium">
        <color theme="1"/>
      </left>
      <right/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5">
    <xf numFmtId="0" fontId="0" fillId="0" borderId="0" xfId="0"/>
    <xf numFmtId="0" fontId="0" fillId="2" borderId="0" xfId="0" applyFill="1"/>
    <xf numFmtId="0" fontId="2" fillId="3" borderId="0" xfId="0" applyFont="1" applyFill="1"/>
    <xf numFmtId="0" fontId="1" fillId="4" borderId="0" xfId="0" applyFont="1" applyFill="1"/>
    <xf numFmtId="2" fontId="0" fillId="0" borderId="0" xfId="0" applyNumberFormat="1"/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6" fillId="0" borderId="0" xfId="0" applyFo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Border="1"/>
    <xf numFmtId="0" fontId="0" fillId="0" borderId="3" xfId="0" applyBorder="1"/>
    <xf numFmtId="0" fontId="0" fillId="6" borderId="1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0" fillId="6" borderId="10" xfId="0" applyFill="1" applyBorder="1"/>
    <xf numFmtId="2" fontId="0" fillId="6" borderId="11" xfId="0" applyNumberFormat="1" applyFill="1" applyBorder="1" applyAlignment="1">
      <alignment horizontal="center"/>
    </xf>
    <xf numFmtId="0" fontId="1" fillId="4" borderId="0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9" fontId="5" fillId="0" borderId="12" xfId="1" applyNumberFormat="1" applyFont="1" applyBorder="1" applyAlignment="1">
      <alignment horizontal="center"/>
    </xf>
    <xf numFmtId="9" fontId="5" fillId="0" borderId="9" xfId="1" applyNumberFormat="1" applyFont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1" fillId="5" borderId="18" xfId="0" applyFont="1" applyFill="1" applyBorder="1" applyAlignment="1">
      <alignment horizontal="left"/>
    </xf>
    <xf numFmtId="0" fontId="1" fillId="5" borderId="19" xfId="0" applyFont="1" applyFill="1" applyBorder="1" applyAlignment="1">
      <alignment horizontal="left"/>
    </xf>
    <xf numFmtId="0" fontId="1" fillId="5" borderId="20" xfId="0" applyFont="1" applyFill="1" applyBorder="1" applyAlignment="1">
      <alignment horizontal="left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2" fillId="8" borderId="0" xfId="0" applyFont="1" applyFill="1"/>
    <xf numFmtId="0" fontId="0" fillId="0" borderId="8" xfId="0" applyBorder="1"/>
    <xf numFmtId="9" fontId="0" fillId="0" borderId="8" xfId="1" applyFont="1" applyBorder="1"/>
    <xf numFmtId="2" fontId="0" fillId="0" borderId="8" xfId="0" applyNumberFormat="1" applyBorder="1"/>
    <xf numFmtId="0" fontId="1" fillId="3" borderId="24" xfId="0" applyFont="1" applyFill="1" applyBorder="1" applyAlignment="1">
      <alignment horizontal="center"/>
    </xf>
    <xf numFmtId="0" fontId="6" fillId="0" borderId="0" xfId="0" applyFont="1" applyBorder="1"/>
    <xf numFmtId="0" fontId="1" fillId="4" borderId="16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2" borderId="16" xfId="0" applyFill="1" applyBorder="1" applyAlignment="1"/>
    <xf numFmtId="0" fontId="0" fillId="2" borderId="0" xfId="0" applyFill="1" applyBorder="1" applyAlignment="1"/>
    <xf numFmtId="0" fontId="0" fillId="2" borderId="0" xfId="0" applyFill="1" applyBorder="1"/>
    <xf numFmtId="0" fontId="2" fillId="3" borderId="16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4" xfId="0" applyFill="1" applyBorder="1"/>
    <xf numFmtId="0" fontId="0" fillId="2" borderId="15" xfId="0" applyFill="1" applyBorder="1"/>
    <xf numFmtId="0" fontId="0" fillId="2" borderId="17" xfId="0" applyFill="1" applyBorder="1"/>
    <xf numFmtId="0" fontId="2" fillId="3" borderId="21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0" fillId="2" borderId="23" xfId="0" applyFill="1" applyBorder="1"/>
    <xf numFmtId="0" fontId="1" fillId="3" borderId="16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7" borderId="26" xfId="0" applyFill="1" applyBorder="1" applyAlignment="1" applyProtection="1">
      <alignment horizontal="center"/>
      <protection locked="0"/>
    </xf>
    <xf numFmtId="0" fontId="0" fillId="7" borderId="27" xfId="0" applyFill="1" applyBorder="1" applyAlignment="1" applyProtection="1">
      <alignment horizontal="center"/>
      <protection locked="0"/>
    </xf>
    <xf numFmtId="0" fontId="0" fillId="7" borderId="28" xfId="0" applyFill="1" applyBorder="1" applyAlignment="1" applyProtection="1">
      <alignment horizontal="center"/>
      <protection locked="0"/>
    </xf>
  </cellXfs>
  <cellStyles count="2">
    <cellStyle name="Normal" xfId="0" builtinId="0"/>
    <cellStyle name="Porcentagem" xfId="1" builtinId="5"/>
  </cellStyles>
  <dxfs count="6">
    <dxf>
      <font>
        <color theme="1"/>
      </font>
      <fill>
        <patternFill>
          <bgColor rgb="FFFF00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39413</xdr:colOff>
      <xdr:row>0</xdr:row>
      <xdr:rowOff>85397</xdr:rowOff>
    </xdr:from>
    <xdr:ext cx="482864" cy="388177"/>
    <xdr:pic>
      <xdr:nvPicPr>
        <xdr:cNvPr id="3" name="Imagem 2">
          <a:extLst>
            <a:ext uri="{FF2B5EF4-FFF2-40B4-BE49-F238E27FC236}">
              <a16:creationId xmlns:a16="http://schemas.microsoft.com/office/drawing/2014/main" id="{6AE2F5E8-20E5-430D-86D9-33DB08DD7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0465" y="85397"/>
          <a:ext cx="482864" cy="3881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0</xdr:col>
      <xdr:colOff>6569</xdr:colOff>
      <xdr:row>13</xdr:row>
      <xdr:rowOff>65689</xdr:rowOff>
    </xdr:from>
    <xdr:to>
      <xdr:col>10</xdr:col>
      <xdr:colOff>420414</xdr:colOff>
      <xdr:row>13</xdr:row>
      <xdr:rowOff>72258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80AB54ED-F76B-E760-C183-67B47DF7CF1C}"/>
            </a:ext>
          </a:extLst>
        </xdr:cNvPr>
        <xdr:cNvCxnSpPr/>
      </xdr:nvCxnSpPr>
      <xdr:spPr>
        <a:xfrm flipV="1">
          <a:off x="6569" y="2594741"/>
          <a:ext cx="5537638" cy="6569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512378</xdr:colOff>
      <xdr:row>3</xdr:row>
      <xdr:rowOff>39414</xdr:rowOff>
    </xdr:from>
    <xdr:to>
      <xdr:col>4</xdr:col>
      <xdr:colOff>512379</xdr:colOff>
      <xdr:row>4</xdr:row>
      <xdr:rowOff>52552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A1DE7997-1D47-A548-7B48-DFD36810051C}"/>
            </a:ext>
          </a:extLst>
        </xdr:cNvPr>
        <xdr:cNvCxnSpPr/>
      </xdr:nvCxnSpPr>
      <xdr:spPr>
        <a:xfrm flipH="1" flipV="1">
          <a:off x="2804947" y="617483"/>
          <a:ext cx="1" cy="2102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492672</xdr:colOff>
      <xdr:row>17</xdr:row>
      <xdr:rowOff>78828</xdr:rowOff>
    </xdr:from>
    <xdr:to>
      <xdr:col>4</xdr:col>
      <xdr:colOff>492673</xdr:colOff>
      <xdr:row>18</xdr:row>
      <xdr:rowOff>91966</xdr:rowOff>
    </xdr:to>
    <xdr:cxnSp macro="">
      <xdr:nvCxnSpPr>
        <xdr:cNvPr id="18" name="Conector de Seta Reta 17">
          <a:extLst>
            <a:ext uri="{FF2B5EF4-FFF2-40B4-BE49-F238E27FC236}">
              <a16:creationId xmlns:a16="http://schemas.microsoft.com/office/drawing/2014/main" id="{0E3C59FB-AE94-46B7-A96B-003320B25E49}"/>
            </a:ext>
          </a:extLst>
        </xdr:cNvPr>
        <xdr:cNvCxnSpPr/>
      </xdr:nvCxnSpPr>
      <xdr:spPr>
        <a:xfrm flipH="1" flipV="1">
          <a:off x="2785241" y="3192518"/>
          <a:ext cx="1" cy="2102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202748</xdr:colOff>
      <xdr:row>0</xdr:row>
      <xdr:rowOff>0</xdr:rowOff>
    </xdr:from>
    <xdr:ext cx="580572" cy="466725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80934" y="0"/>
          <a:ext cx="580572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85725</xdr:rowOff>
        </xdr:from>
        <xdr:to>
          <xdr:col>12</xdr:col>
          <xdr:colOff>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28575</xdr:rowOff>
        </xdr:from>
        <xdr:to>
          <xdr:col>11</xdr:col>
          <xdr:colOff>600075</xdr:colOff>
          <xdr:row>3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Preencher Dados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12B6D-9722-4108-82E8-C7057444361A}">
  <sheetPr codeName="Planilha2"/>
  <dimension ref="A1:K25"/>
  <sheetViews>
    <sheetView showGridLines="0" zoomScale="145" zoomScaleNormal="145" workbookViewId="0">
      <selection activeCell="E8" sqref="E8"/>
    </sheetView>
  </sheetViews>
  <sheetFormatPr defaultColWidth="0" defaultRowHeight="15" zeroHeight="1" x14ac:dyDescent="0.25"/>
  <cols>
    <col min="1" max="1" width="10.85546875" style="27" bestFit="1" customWidth="1"/>
    <col min="2" max="2" width="9.140625" style="10" customWidth="1"/>
    <col min="3" max="3" width="7.7109375" style="10" bestFit="1" customWidth="1"/>
    <col min="4" max="4" width="6.7109375" style="10" customWidth="1"/>
    <col min="5" max="5" width="9.140625" style="10" customWidth="1"/>
    <col min="6" max="6" width="4.85546875" style="10" customWidth="1"/>
    <col min="7" max="7" width="1" style="10" customWidth="1"/>
    <col min="8" max="8" width="9.140625" style="28" customWidth="1"/>
    <col min="9" max="11" width="9.140625" hidden="1" customWidth="1"/>
    <col min="12" max="16384" width="9.140625" hidden="1"/>
  </cols>
  <sheetData>
    <row r="1" spans="1:11" x14ac:dyDescent="0.25">
      <c r="A1" s="48" t="s">
        <v>0</v>
      </c>
      <c r="B1" s="49"/>
      <c r="C1" s="49"/>
      <c r="D1" s="49"/>
      <c r="E1" s="49"/>
      <c r="F1" s="49"/>
      <c r="G1" s="50"/>
      <c r="H1" s="51"/>
    </row>
    <row r="2" spans="1:11" ht="15.75" thickBot="1" x14ac:dyDescent="0.3">
      <c r="A2" s="46" t="s">
        <v>56</v>
      </c>
      <c r="B2" s="47"/>
      <c r="C2" s="45"/>
      <c r="D2" s="45"/>
      <c r="E2" s="45"/>
      <c r="F2" s="45"/>
      <c r="G2" s="45"/>
      <c r="H2" s="52"/>
    </row>
    <row r="3" spans="1:11" ht="15.75" thickBot="1" x14ac:dyDescent="0.3">
      <c r="A3" s="53" t="s">
        <v>59</v>
      </c>
      <c r="B3" s="54"/>
      <c r="C3" s="54"/>
      <c r="D3" s="54"/>
      <c r="E3" s="62" t="s">
        <v>19</v>
      </c>
      <c r="F3" s="63"/>
      <c r="G3" s="64"/>
      <c r="H3" s="55"/>
      <c r="I3" s="7"/>
      <c r="J3" s="7"/>
      <c r="K3" s="7"/>
    </row>
    <row r="4" spans="1:11" ht="15.75" thickBot="1" x14ac:dyDescent="0.3">
      <c r="A4" s="59"/>
      <c r="B4" s="60"/>
      <c r="C4" s="60"/>
      <c r="D4" s="60"/>
      <c r="E4" s="60"/>
      <c r="F4" s="60"/>
      <c r="G4" s="60"/>
      <c r="H4" s="61"/>
      <c r="I4" s="7"/>
      <c r="J4" s="7"/>
      <c r="K4" s="7"/>
    </row>
    <row r="5" spans="1:11" x14ac:dyDescent="0.25">
      <c r="A5" s="56" t="s">
        <v>65</v>
      </c>
      <c r="B5" s="57"/>
      <c r="C5" s="57"/>
      <c r="D5" s="58"/>
      <c r="E5" s="40" t="s">
        <v>63</v>
      </c>
    </row>
    <row r="6" spans="1:11" ht="15.75" thickBot="1" x14ac:dyDescent="0.3">
      <c r="D6" s="11"/>
      <c r="E6" s="40" t="s">
        <v>64</v>
      </c>
    </row>
    <row r="7" spans="1:11" x14ac:dyDescent="0.25">
      <c r="A7" s="29" t="s">
        <v>57</v>
      </c>
      <c r="B7" s="12" t="str">
        <f>VLOOKUP(E3,Sheet2!A:I,2,0)</f>
        <v>Aluno05</v>
      </c>
      <c r="C7" s="16" t="s">
        <v>60</v>
      </c>
      <c r="D7" s="11"/>
    </row>
    <row r="8" spans="1:11" ht="15.75" thickBot="1" x14ac:dyDescent="0.3">
      <c r="A8" s="30" t="s">
        <v>61</v>
      </c>
      <c r="B8" s="13" t="str">
        <f>VLOOKUP(E3,Sheet2!A:I,9,0)</f>
        <v>A</v>
      </c>
      <c r="C8" s="17">
        <f>VLOOKUP(E3,Sheet2!A:I,7,0)</f>
        <v>8.1749999999999989</v>
      </c>
      <c r="D8" s="11"/>
    </row>
    <row r="9" spans="1:11" ht="16.5" thickTop="1" thickBot="1" x14ac:dyDescent="0.3">
      <c r="A9" s="31" t="s">
        <v>75</v>
      </c>
      <c r="B9" s="14" t="str">
        <f>VLOOKUP(Sheet1!E3,Sheet2!A4:H34,8,0)</f>
        <v>PASSOU</v>
      </c>
      <c r="C9" s="15"/>
      <c r="D9" s="11"/>
    </row>
    <row r="10" spans="1:11" ht="15.75" thickBot="1" x14ac:dyDescent="0.3">
      <c r="D10" s="11"/>
    </row>
    <row r="11" spans="1:11" x14ac:dyDescent="0.25">
      <c r="A11" s="39" t="s">
        <v>62</v>
      </c>
      <c r="B11" s="8"/>
      <c r="C11" s="8"/>
      <c r="D11" s="9"/>
    </row>
    <row r="12" spans="1:11" x14ac:dyDescent="0.25">
      <c r="A12" s="41" t="s">
        <v>5</v>
      </c>
      <c r="B12" s="18" t="s">
        <v>6</v>
      </c>
      <c r="C12" s="18" t="s">
        <v>7</v>
      </c>
      <c r="D12" s="19" t="s">
        <v>8</v>
      </c>
    </row>
    <row r="13" spans="1:11" ht="15.75" thickBot="1" x14ac:dyDescent="0.3">
      <c r="A13" s="42">
        <f>VLOOKUP(Sheet1!E3,Sheet2!A4:H34,3,0)</f>
        <v>6.8</v>
      </c>
      <c r="B13" s="20">
        <f>VLOOKUP(Sheet1!E3,Sheet2!A4:H34,4,0)</f>
        <v>7.1</v>
      </c>
      <c r="C13" s="20">
        <f>VLOOKUP(Sheet1!E3,Sheet2!A4:H34,5,0)</f>
        <v>9.4</v>
      </c>
      <c r="D13" s="21">
        <f>VLOOKUP(Sheet1!E3,Sheet2!A4:H34,6,0)</f>
        <v>9.4</v>
      </c>
    </row>
    <row r="14" spans="1:11" x14ac:dyDescent="0.25"/>
    <row r="15" spans="1:11" hidden="1" x14ac:dyDescent="0.25">
      <c r="A15" s="43"/>
      <c r="B15" s="44"/>
      <c r="C15" s="44"/>
      <c r="D15" s="44"/>
      <c r="E15" s="44"/>
      <c r="F15" s="44"/>
      <c r="G15" s="45"/>
    </row>
    <row r="16" spans="1:11" ht="15.75" thickBot="1" x14ac:dyDescent="0.3">
      <c r="A16" s="46" t="s">
        <v>72</v>
      </c>
      <c r="B16" s="47"/>
      <c r="C16" s="47"/>
      <c r="D16" s="47"/>
      <c r="E16" s="47"/>
      <c r="F16" s="47"/>
      <c r="G16" s="47"/>
    </row>
    <row r="17" spans="1:10" ht="15.75" thickBot="1" x14ac:dyDescent="0.3">
      <c r="A17" s="46" t="s">
        <v>71</v>
      </c>
      <c r="B17" s="47"/>
      <c r="C17" s="47"/>
      <c r="D17" s="47"/>
      <c r="E17" s="62" t="s">
        <v>78</v>
      </c>
      <c r="F17" s="63"/>
      <c r="G17" s="64"/>
      <c r="I17" s="7"/>
      <c r="J17" s="7"/>
    </row>
    <row r="18" spans="1:10" ht="15.75" thickBot="1" x14ac:dyDescent="0.3">
      <c r="I18" s="7"/>
      <c r="J18" s="7"/>
    </row>
    <row r="19" spans="1:10" x14ac:dyDescent="0.25">
      <c r="A19" s="24" t="s">
        <v>74</v>
      </c>
      <c r="B19" s="25"/>
      <c r="C19" s="25"/>
      <c r="D19" s="26"/>
      <c r="E19" s="40" t="s">
        <v>80</v>
      </c>
    </row>
    <row r="20" spans="1:10" ht="15.75" thickBot="1" x14ac:dyDescent="0.3">
      <c r="D20" s="28"/>
      <c r="E20" s="40" t="s">
        <v>64</v>
      </c>
    </row>
    <row r="21" spans="1:10" x14ac:dyDescent="0.25">
      <c r="A21" s="29" t="s">
        <v>61</v>
      </c>
      <c r="B21" s="12" t="str">
        <f>E17</f>
        <v>C</v>
      </c>
      <c r="C21" s="16" t="s">
        <v>60</v>
      </c>
      <c r="D21" s="28"/>
    </row>
    <row r="22" spans="1:10" ht="15.75" thickBot="1" x14ac:dyDescent="0.3">
      <c r="A22" s="30" t="s">
        <v>76</v>
      </c>
      <c r="B22" s="13">
        <f>COUNTIF(Sheet2!I:I,Sheet1!E17)</f>
        <v>10</v>
      </c>
      <c r="C22" s="17">
        <f>AVERAGEIF(Sheet2!I:I,Sheet1!E17,Sheet2!G:G)</f>
        <v>7.5875000000000012</v>
      </c>
      <c r="D22" s="28"/>
    </row>
    <row r="23" spans="1:10" ht="16.5" thickTop="1" thickBot="1" x14ac:dyDescent="0.3">
      <c r="A23" s="31" t="s">
        <v>73</v>
      </c>
      <c r="B23" s="22" t="str">
        <f>CONCATENATE(IF(C22&gt;Sheet2!L11,"+",),(ROUND((C22/Sheet2!L11)-1,2))*100,"%")</f>
        <v>0%</v>
      </c>
      <c r="C23" s="23"/>
      <c r="D23" s="28"/>
    </row>
    <row r="24" spans="1:10" ht="15.75" thickBot="1" x14ac:dyDescent="0.3">
      <c r="A24" s="32"/>
      <c r="B24" s="33"/>
      <c r="C24" s="33"/>
      <c r="D24" s="34"/>
    </row>
    <row r="25" spans="1:10" x14ac:dyDescent="0.25"/>
  </sheetData>
  <mergeCells count="12">
    <mergeCell ref="B23:C23"/>
    <mergeCell ref="A11:D11"/>
    <mergeCell ref="A16:G16"/>
    <mergeCell ref="A17:D17"/>
    <mergeCell ref="E17:G17"/>
    <mergeCell ref="A19:D19"/>
    <mergeCell ref="B9:C9"/>
    <mergeCell ref="A5:D5"/>
    <mergeCell ref="A1:F1"/>
    <mergeCell ref="A2:B2"/>
    <mergeCell ref="E3:G3"/>
    <mergeCell ref="A3:D3"/>
  </mergeCells>
  <conditionalFormatting sqref="B9">
    <cfRule type="cellIs" dxfId="5" priority="3" operator="equal">
      <formula>"PASSOU"</formula>
    </cfRule>
    <cfRule type="cellIs" dxfId="4" priority="4" operator="equal">
      <formula>"REPROVADO"</formula>
    </cfRule>
  </conditionalFormatting>
  <conditionalFormatting sqref="B23">
    <cfRule type="cellIs" dxfId="3" priority="1" operator="equal">
      <formula>"PASSOU"</formula>
    </cfRule>
    <cfRule type="cellIs" dxfId="2" priority="2" operator="equal">
      <formula>"REPROVADO"</formula>
    </cfRule>
  </conditionalFormatting>
  <dataValidations count="1">
    <dataValidation type="list" allowBlank="1" showInputMessage="1" showErrorMessage="1" sqref="E17:G17" xr:uid="{DD6BA2E9-66FA-4777-8927-D00723F5925A}">
      <formula1>"A,B,C"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509B91-17A1-493A-AD52-784CFA50C90B}">
          <x14:formula1>
            <xm:f>Sheet2!$A$4:$A$34</xm:f>
          </x14:formula1>
          <xm:sqref>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EA99C-836C-4453-B794-F9A59DC2C0AD}">
  <sheetPr codeName="Planilha1"/>
  <dimension ref="A1:M34"/>
  <sheetViews>
    <sheetView showGridLines="0" tabSelected="1" topLeftCell="E10" zoomScale="175" zoomScaleNormal="175" workbookViewId="0">
      <selection activeCell="K15" sqref="K15"/>
    </sheetView>
  </sheetViews>
  <sheetFormatPr defaultRowHeight="15" x14ac:dyDescent="0.25"/>
  <cols>
    <col min="8" max="8" width="12.140625" bestFit="1" customWidth="1"/>
    <col min="9" max="9" width="12.140625" customWidth="1"/>
    <col min="11" max="11" width="12.42578125" bestFit="1" customWidth="1"/>
  </cols>
  <sheetData>
    <row r="1" spans="1:13" x14ac:dyDescent="0.25">
      <c r="A1" s="5" t="s">
        <v>0</v>
      </c>
      <c r="B1" s="5"/>
      <c r="C1" s="5"/>
      <c r="D1" s="5"/>
      <c r="E1" s="5"/>
      <c r="F1" s="5"/>
      <c r="G1" s="1"/>
      <c r="H1" s="1"/>
      <c r="I1" s="1"/>
    </row>
    <row r="2" spans="1:13" x14ac:dyDescent="0.25">
      <c r="A2" s="2" t="s">
        <v>1</v>
      </c>
      <c r="B2" s="1" t="s">
        <v>2</v>
      </c>
      <c r="C2" s="1"/>
      <c r="D2" s="1"/>
      <c r="E2" s="1"/>
      <c r="F2" s="1"/>
      <c r="G2" s="1"/>
      <c r="H2" s="1"/>
      <c r="I2" s="1"/>
    </row>
    <row r="3" spans="1:13" x14ac:dyDescent="0.25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  <c r="F3" s="3" t="s">
        <v>8</v>
      </c>
      <c r="G3" s="3" t="s">
        <v>9</v>
      </c>
      <c r="H3" s="3" t="s">
        <v>10</v>
      </c>
      <c r="I3" s="3" t="s">
        <v>58</v>
      </c>
    </row>
    <row r="4" spans="1:13" x14ac:dyDescent="0.25">
      <c r="A4" t="s">
        <v>11</v>
      </c>
      <c r="B4" t="s">
        <v>12</v>
      </c>
      <c r="C4" s="4">
        <v>5.7</v>
      </c>
      <c r="D4" s="4">
        <v>7.1</v>
      </c>
      <c r="E4" s="4">
        <v>8.5</v>
      </c>
      <c r="F4" s="4">
        <v>8.8000000000000007</v>
      </c>
      <c r="G4" s="4">
        <f>IF(F4="","",AVERAGE(C4:F4))</f>
        <v>7.5250000000000004</v>
      </c>
      <c r="H4" t="str">
        <f>IF(F4="","",IF(G4&lt;7,"REPROVADO","PASSOU"))</f>
        <v>PASSOU</v>
      </c>
      <c r="I4" t="str">
        <f>RIGHT(A4,1)</f>
        <v>A</v>
      </c>
    </row>
    <row r="5" spans="1:13" x14ac:dyDescent="0.25">
      <c r="A5" t="s">
        <v>13</v>
      </c>
      <c r="B5" t="s">
        <v>14</v>
      </c>
      <c r="C5" s="4">
        <v>8</v>
      </c>
      <c r="D5" s="4">
        <v>6.9</v>
      </c>
      <c r="E5" s="4">
        <v>7.7</v>
      </c>
      <c r="F5" s="4">
        <v>8.3000000000000007</v>
      </c>
      <c r="G5" s="4">
        <f t="shared" ref="G5:G34" si="0">IF(F5="","",AVERAGE(C5:F5))</f>
        <v>7.7250000000000005</v>
      </c>
      <c r="H5" t="str">
        <f t="shared" ref="H5:H34" si="1">IF(F5="","",IF(G5&lt;7,"REPROVADO","PASSOU"))</f>
        <v>PASSOU</v>
      </c>
      <c r="I5" t="str">
        <f t="shared" ref="I5:I34" si="2">RIGHT(A5,1)</f>
        <v>A</v>
      </c>
    </row>
    <row r="6" spans="1:13" x14ac:dyDescent="0.25">
      <c r="A6" t="s">
        <v>15</v>
      </c>
      <c r="B6" t="s">
        <v>16</v>
      </c>
      <c r="C6" s="4">
        <v>6.9</v>
      </c>
      <c r="D6" s="4">
        <v>5.4</v>
      </c>
      <c r="E6" s="4">
        <v>6.3</v>
      </c>
      <c r="F6" s="4">
        <v>8.6</v>
      </c>
      <c r="G6" s="4">
        <f t="shared" si="0"/>
        <v>6.8000000000000007</v>
      </c>
      <c r="H6" t="str">
        <f t="shared" si="1"/>
        <v>REPROVADO</v>
      </c>
      <c r="I6" t="str">
        <f t="shared" si="2"/>
        <v>A</v>
      </c>
      <c r="K6" s="6" t="s">
        <v>79</v>
      </c>
      <c r="L6" s="6"/>
      <c r="M6" s="6"/>
    </row>
    <row r="7" spans="1:13" x14ac:dyDescent="0.25">
      <c r="A7" t="s">
        <v>17</v>
      </c>
      <c r="B7" t="s">
        <v>18</v>
      </c>
      <c r="C7" s="4">
        <v>8.6</v>
      </c>
      <c r="D7" s="4">
        <v>9.8000000000000007</v>
      </c>
      <c r="E7" s="4">
        <v>8.6999999999999993</v>
      </c>
      <c r="F7" s="4">
        <v>9.4</v>
      </c>
      <c r="G7" s="4">
        <f t="shared" si="0"/>
        <v>9.125</v>
      </c>
      <c r="H7" t="str">
        <f t="shared" si="1"/>
        <v>PASSOU</v>
      </c>
      <c r="I7" t="str">
        <f t="shared" si="2"/>
        <v>A</v>
      </c>
      <c r="L7" t="s">
        <v>67</v>
      </c>
      <c r="M7" t="s">
        <v>68</v>
      </c>
    </row>
    <row r="8" spans="1:13" x14ac:dyDescent="0.25">
      <c r="A8" t="s">
        <v>19</v>
      </c>
      <c r="B8" t="s">
        <v>20</v>
      </c>
      <c r="C8" s="4">
        <v>6.8</v>
      </c>
      <c r="D8" s="4">
        <v>7.1</v>
      </c>
      <c r="E8" s="4">
        <v>9.4</v>
      </c>
      <c r="F8" s="4">
        <v>9.4</v>
      </c>
      <c r="G8" s="4">
        <f t="shared" si="0"/>
        <v>8.1749999999999989</v>
      </c>
      <c r="H8" t="str">
        <f t="shared" si="1"/>
        <v>PASSOU</v>
      </c>
      <c r="I8" t="str">
        <f t="shared" si="2"/>
        <v>A</v>
      </c>
      <c r="K8" s="35" t="s">
        <v>69</v>
      </c>
      <c r="L8" s="36">
        <f>COUNTA(A4:A100)</f>
        <v>31</v>
      </c>
      <c r="M8" s="37">
        <v>1</v>
      </c>
    </row>
    <row r="9" spans="1:13" x14ac:dyDescent="0.25">
      <c r="A9" t="s">
        <v>21</v>
      </c>
      <c r="B9" t="s">
        <v>22</v>
      </c>
      <c r="C9" s="4">
        <v>9.8000000000000007</v>
      </c>
      <c r="D9" s="4">
        <v>9.6999999999999993</v>
      </c>
      <c r="E9" s="4">
        <v>7.7</v>
      </c>
      <c r="F9" s="4">
        <v>8.6999999999999993</v>
      </c>
      <c r="G9" s="4">
        <f t="shared" si="0"/>
        <v>8.9749999999999996</v>
      </c>
      <c r="H9" t="str">
        <f t="shared" si="1"/>
        <v>PASSOU</v>
      </c>
      <c r="I9" t="str">
        <f t="shared" si="2"/>
        <v>A</v>
      </c>
      <c r="K9" s="35" t="s">
        <v>66</v>
      </c>
      <c r="L9" s="36">
        <f>COUNTIF(H:H,"PASSOU")</f>
        <v>26</v>
      </c>
      <c r="M9" s="37">
        <f>L9/L8</f>
        <v>0.83870967741935487</v>
      </c>
    </row>
    <row r="10" spans="1:13" x14ac:dyDescent="0.25">
      <c r="A10" t="s">
        <v>23</v>
      </c>
      <c r="B10" t="s">
        <v>24</v>
      </c>
      <c r="C10" s="4">
        <v>6.7</v>
      </c>
      <c r="D10" s="4">
        <v>6.8</v>
      </c>
      <c r="E10" s="4">
        <v>8.6999999999999993</v>
      </c>
      <c r="F10" s="4">
        <v>7.7</v>
      </c>
      <c r="G10" s="4">
        <f t="shared" si="0"/>
        <v>7.4749999999999996</v>
      </c>
      <c r="H10" t="str">
        <f t="shared" si="1"/>
        <v>PASSOU</v>
      </c>
      <c r="I10" t="str">
        <f t="shared" si="2"/>
        <v>A</v>
      </c>
      <c r="K10" s="35" t="s">
        <v>70</v>
      </c>
      <c r="L10" s="36">
        <f>COUNTIF(H:H,"REPROVADO")</f>
        <v>5</v>
      </c>
      <c r="M10" s="37">
        <f>L10/L8</f>
        <v>0.16129032258064516</v>
      </c>
    </row>
    <row r="11" spans="1:13" x14ac:dyDescent="0.25">
      <c r="A11" t="s">
        <v>25</v>
      </c>
      <c r="B11" t="s">
        <v>26</v>
      </c>
      <c r="C11" s="4">
        <v>8.1</v>
      </c>
      <c r="D11" s="4">
        <v>9.9</v>
      </c>
      <c r="E11" s="4">
        <v>7.3</v>
      </c>
      <c r="F11" s="4">
        <v>9.1999999999999993</v>
      </c>
      <c r="G11" s="4">
        <f t="shared" si="0"/>
        <v>8.625</v>
      </c>
      <c r="H11" t="str">
        <f t="shared" si="1"/>
        <v>PASSOU</v>
      </c>
      <c r="I11" t="str">
        <f t="shared" si="2"/>
        <v>A</v>
      </c>
      <c r="K11" s="35" t="s">
        <v>77</v>
      </c>
      <c r="L11" s="38">
        <f>AVERAGE(G4:G34)</f>
        <v>7.598387096774192</v>
      </c>
    </row>
    <row r="12" spans="1:13" x14ac:dyDescent="0.25">
      <c r="A12" t="s">
        <v>27</v>
      </c>
      <c r="B12" t="s">
        <v>28</v>
      </c>
      <c r="C12" s="4">
        <v>7</v>
      </c>
      <c r="D12" s="4">
        <v>5.7</v>
      </c>
      <c r="E12" s="4">
        <v>8.6999999999999993</v>
      </c>
      <c r="F12" s="4">
        <v>7.6</v>
      </c>
      <c r="G12" s="4">
        <f t="shared" si="0"/>
        <v>7.25</v>
      </c>
      <c r="H12" t="str">
        <f t="shared" si="1"/>
        <v>PASSOU</v>
      </c>
      <c r="I12" t="str">
        <f t="shared" si="2"/>
        <v>A</v>
      </c>
    </row>
    <row r="13" spans="1:13" x14ac:dyDescent="0.25">
      <c r="A13" t="s">
        <v>29</v>
      </c>
      <c r="B13" t="s">
        <v>30</v>
      </c>
      <c r="C13" s="4">
        <v>6.3</v>
      </c>
      <c r="D13" s="4">
        <v>7.7</v>
      </c>
      <c r="E13" s="4">
        <v>10</v>
      </c>
      <c r="F13" s="4">
        <v>7.9</v>
      </c>
      <c r="G13" s="4">
        <f t="shared" si="0"/>
        <v>7.9749999999999996</v>
      </c>
      <c r="H13" t="str">
        <f t="shared" si="1"/>
        <v>PASSOU</v>
      </c>
      <c r="I13" t="str">
        <f t="shared" si="2"/>
        <v>A</v>
      </c>
    </row>
    <row r="14" spans="1:13" x14ac:dyDescent="0.25">
      <c r="A14" t="s">
        <v>31</v>
      </c>
      <c r="B14" t="s">
        <v>32</v>
      </c>
      <c r="C14" s="4">
        <v>5.7</v>
      </c>
      <c r="D14" s="4">
        <v>7</v>
      </c>
      <c r="E14" s="4">
        <v>8.3000000000000007</v>
      </c>
      <c r="F14" s="4">
        <v>7.6</v>
      </c>
      <c r="G14" s="4">
        <f t="shared" si="0"/>
        <v>7.15</v>
      </c>
      <c r="H14" t="str">
        <f t="shared" si="1"/>
        <v>PASSOU</v>
      </c>
      <c r="I14" t="str">
        <f t="shared" si="2"/>
        <v>A</v>
      </c>
    </row>
    <row r="15" spans="1:13" x14ac:dyDescent="0.25">
      <c r="A15" t="s">
        <v>33</v>
      </c>
      <c r="B15" t="s">
        <v>34</v>
      </c>
      <c r="C15" s="4">
        <v>7.3</v>
      </c>
      <c r="D15" s="4">
        <v>7.5</v>
      </c>
      <c r="E15" s="4">
        <v>9.5</v>
      </c>
      <c r="F15" s="4">
        <v>9.6</v>
      </c>
      <c r="G15" s="4">
        <f t="shared" si="0"/>
        <v>8.4749999999999996</v>
      </c>
      <c r="H15" t="str">
        <f t="shared" si="1"/>
        <v>PASSOU</v>
      </c>
      <c r="I15" t="str">
        <f t="shared" si="2"/>
        <v>A</v>
      </c>
    </row>
    <row r="16" spans="1:13" x14ac:dyDescent="0.25">
      <c r="A16" t="s">
        <v>35</v>
      </c>
      <c r="B16" t="s">
        <v>36</v>
      </c>
      <c r="C16" s="4">
        <v>7.1</v>
      </c>
      <c r="D16" s="4">
        <v>7.9</v>
      </c>
      <c r="E16" s="4">
        <v>9</v>
      </c>
      <c r="F16" s="4">
        <v>6.6</v>
      </c>
      <c r="G16" s="4">
        <f t="shared" si="0"/>
        <v>7.65</v>
      </c>
      <c r="H16" t="str">
        <f t="shared" si="1"/>
        <v>PASSOU</v>
      </c>
      <c r="I16" t="str">
        <f t="shared" si="2"/>
        <v>A</v>
      </c>
    </row>
    <row r="17" spans="1:9" x14ac:dyDescent="0.25">
      <c r="A17" t="s">
        <v>37</v>
      </c>
      <c r="B17" t="s">
        <v>38</v>
      </c>
      <c r="C17" s="4">
        <v>9.6999999999999993</v>
      </c>
      <c r="D17" s="4">
        <v>8.6999999999999993</v>
      </c>
      <c r="E17" s="4">
        <v>6.1</v>
      </c>
      <c r="F17" s="4">
        <v>7.6</v>
      </c>
      <c r="G17" s="4">
        <f t="shared" si="0"/>
        <v>8.0250000000000004</v>
      </c>
      <c r="H17" t="str">
        <f t="shared" si="1"/>
        <v>PASSOU</v>
      </c>
      <c r="I17" t="str">
        <f t="shared" si="2"/>
        <v>A</v>
      </c>
    </row>
    <row r="18" spans="1:9" x14ac:dyDescent="0.25">
      <c r="A18" t="s">
        <v>39</v>
      </c>
      <c r="B18" t="s">
        <v>12</v>
      </c>
      <c r="C18" s="4">
        <v>8.1</v>
      </c>
      <c r="D18" s="4">
        <v>4.5</v>
      </c>
      <c r="E18" s="4">
        <v>8.6</v>
      </c>
      <c r="F18" s="4">
        <v>4.5999999999999996</v>
      </c>
      <c r="G18" s="4">
        <f t="shared" si="0"/>
        <v>6.4499999999999993</v>
      </c>
      <c r="H18" t="str">
        <f t="shared" si="1"/>
        <v>REPROVADO</v>
      </c>
      <c r="I18" t="str">
        <f t="shared" si="2"/>
        <v>B</v>
      </c>
    </row>
    <row r="19" spans="1:9" x14ac:dyDescent="0.25">
      <c r="A19" t="s">
        <v>40</v>
      </c>
      <c r="B19" t="s">
        <v>14</v>
      </c>
      <c r="C19" s="4">
        <v>6.6</v>
      </c>
      <c r="D19" s="4">
        <v>7.8</v>
      </c>
      <c r="E19" s="4">
        <v>5</v>
      </c>
      <c r="F19" s="4">
        <v>6.9</v>
      </c>
      <c r="G19" s="4">
        <f t="shared" si="0"/>
        <v>6.5749999999999993</v>
      </c>
      <c r="H19" t="str">
        <f t="shared" si="1"/>
        <v>REPROVADO</v>
      </c>
      <c r="I19" t="str">
        <f t="shared" si="2"/>
        <v>B</v>
      </c>
    </row>
    <row r="20" spans="1:9" x14ac:dyDescent="0.25">
      <c r="A20" t="s">
        <v>41</v>
      </c>
      <c r="B20" t="s">
        <v>16</v>
      </c>
      <c r="C20" s="4">
        <v>5.9</v>
      </c>
      <c r="D20" s="4">
        <v>6.9</v>
      </c>
      <c r="E20" s="4">
        <v>8.6999999999999993</v>
      </c>
      <c r="F20" s="4">
        <v>6.5</v>
      </c>
      <c r="G20" s="4">
        <f t="shared" si="0"/>
        <v>7</v>
      </c>
      <c r="H20" t="str">
        <f t="shared" si="1"/>
        <v>PASSOU</v>
      </c>
      <c r="I20" t="str">
        <f t="shared" si="2"/>
        <v>B</v>
      </c>
    </row>
    <row r="21" spans="1:9" x14ac:dyDescent="0.25">
      <c r="A21" t="s">
        <v>42</v>
      </c>
      <c r="B21" t="s">
        <v>18</v>
      </c>
      <c r="C21" s="4">
        <v>4.5999999999999996</v>
      </c>
      <c r="D21" s="4">
        <v>5.4</v>
      </c>
      <c r="E21" s="4">
        <v>5.9</v>
      </c>
      <c r="F21" s="4">
        <v>6.6</v>
      </c>
      <c r="G21" s="4">
        <f t="shared" si="0"/>
        <v>5.625</v>
      </c>
      <c r="H21" t="str">
        <f t="shared" si="1"/>
        <v>REPROVADO</v>
      </c>
      <c r="I21" t="str">
        <f t="shared" si="2"/>
        <v>B</v>
      </c>
    </row>
    <row r="22" spans="1:9" x14ac:dyDescent="0.25">
      <c r="A22" t="s">
        <v>43</v>
      </c>
      <c r="B22" t="s">
        <v>20</v>
      </c>
      <c r="C22" s="4">
        <v>5.6</v>
      </c>
      <c r="D22" s="4">
        <v>5</v>
      </c>
      <c r="E22" s="4">
        <v>9.1999999999999993</v>
      </c>
      <c r="F22" s="4">
        <v>10</v>
      </c>
      <c r="G22" s="4">
        <f t="shared" si="0"/>
        <v>7.4499999999999993</v>
      </c>
      <c r="H22" t="str">
        <f t="shared" si="1"/>
        <v>PASSOU</v>
      </c>
      <c r="I22" t="str">
        <f t="shared" si="2"/>
        <v>B</v>
      </c>
    </row>
    <row r="23" spans="1:9" x14ac:dyDescent="0.25">
      <c r="A23" t="s">
        <v>44</v>
      </c>
      <c r="B23" t="s">
        <v>22</v>
      </c>
      <c r="C23" s="4">
        <v>9.6999999999999993</v>
      </c>
      <c r="D23" s="4">
        <v>9.9</v>
      </c>
      <c r="E23" s="4">
        <v>7.4</v>
      </c>
      <c r="F23" s="4">
        <v>5.5</v>
      </c>
      <c r="G23" s="4">
        <f t="shared" si="0"/>
        <v>8.125</v>
      </c>
      <c r="H23" t="str">
        <f t="shared" si="1"/>
        <v>PASSOU</v>
      </c>
      <c r="I23" t="str">
        <f t="shared" si="2"/>
        <v>B</v>
      </c>
    </row>
    <row r="24" spans="1:9" x14ac:dyDescent="0.25">
      <c r="A24" t="s">
        <v>45</v>
      </c>
      <c r="B24" t="s">
        <v>24</v>
      </c>
      <c r="C24" s="4">
        <v>9.6999999999999993</v>
      </c>
      <c r="D24" s="4">
        <v>8.1</v>
      </c>
      <c r="E24" s="4">
        <v>7.7</v>
      </c>
      <c r="F24" s="4">
        <v>4.5</v>
      </c>
      <c r="G24" s="4">
        <f t="shared" si="0"/>
        <v>7.4999999999999991</v>
      </c>
      <c r="H24" t="str">
        <f t="shared" si="1"/>
        <v>PASSOU</v>
      </c>
      <c r="I24" t="str">
        <f t="shared" si="2"/>
        <v>B</v>
      </c>
    </row>
    <row r="25" spans="1:9" x14ac:dyDescent="0.25">
      <c r="A25" t="s">
        <v>46</v>
      </c>
      <c r="B25" t="s">
        <v>12</v>
      </c>
      <c r="C25" s="4">
        <v>8.6999999999999993</v>
      </c>
      <c r="D25" s="4">
        <v>9.3000000000000007</v>
      </c>
      <c r="E25" s="4">
        <v>8.1</v>
      </c>
      <c r="F25" s="4">
        <v>7.3</v>
      </c>
      <c r="G25" s="4">
        <f t="shared" si="0"/>
        <v>8.35</v>
      </c>
      <c r="H25" t="str">
        <f t="shared" si="1"/>
        <v>PASSOU</v>
      </c>
      <c r="I25" t="str">
        <f t="shared" si="2"/>
        <v>C</v>
      </c>
    </row>
    <row r="26" spans="1:9" x14ac:dyDescent="0.25">
      <c r="A26" t="s">
        <v>47</v>
      </c>
      <c r="B26" t="s">
        <v>14</v>
      </c>
      <c r="C26" s="4">
        <v>7</v>
      </c>
      <c r="D26" s="4">
        <v>8.6</v>
      </c>
      <c r="E26" s="4">
        <v>8.8000000000000007</v>
      </c>
      <c r="F26" s="4">
        <v>5.5</v>
      </c>
      <c r="G26" s="4">
        <f t="shared" si="0"/>
        <v>7.4749999999999996</v>
      </c>
      <c r="H26" t="str">
        <f t="shared" si="1"/>
        <v>PASSOU</v>
      </c>
      <c r="I26" t="str">
        <f t="shared" si="2"/>
        <v>C</v>
      </c>
    </row>
    <row r="27" spans="1:9" x14ac:dyDescent="0.25">
      <c r="A27" t="s">
        <v>48</v>
      </c>
      <c r="B27" t="s">
        <v>16</v>
      </c>
      <c r="C27" s="4">
        <v>5.6</v>
      </c>
      <c r="D27" s="4">
        <v>9.6999999999999993</v>
      </c>
      <c r="E27" s="4">
        <v>7</v>
      </c>
      <c r="F27" s="4">
        <v>9.5</v>
      </c>
      <c r="G27" s="4">
        <f t="shared" si="0"/>
        <v>7.9499999999999993</v>
      </c>
      <c r="H27" t="str">
        <f t="shared" si="1"/>
        <v>PASSOU</v>
      </c>
      <c r="I27" t="str">
        <f t="shared" si="2"/>
        <v>C</v>
      </c>
    </row>
    <row r="28" spans="1:9" x14ac:dyDescent="0.25">
      <c r="A28" t="s">
        <v>49</v>
      </c>
      <c r="B28" t="s">
        <v>18</v>
      </c>
      <c r="C28" s="4">
        <v>8.1</v>
      </c>
      <c r="D28" s="4">
        <v>7.5</v>
      </c>
      <c r="E28" s="4">
        <v>7.5</v>
      </c>
      <c r="F28" s="4">
        <v>9.1999999999999993</v>
      </c>
      <c r="G28" s="4">
        <f t="shared" si="0"/>
        <v>8.0749999999999993</v>
      </c>
      <c r="H28" t="str">
        <f t="shared" si="1"/>
        <v>PASSOU</v>
      </c>
      <c r="I28" t="str">
        <f t="shared" si="2"/>
        <v>C</v>
      </c>
    </row>
    <row r="29" spans="1:9" x14ac:dyDescent="0.25">
      <c r="A29" t="s">
        <v>50</v>
      </c>
      <c r="B29" t="s">
        <v>20</v>
      </c>
      <c r="C29" s="4">
        <v>8.6</v>
      </c>
      <c r="D29" s="4">
        <v>5.0999999999999996</v>
      </c>
      <c r="E29" s="4">
        <v>5.0999999999999996</v>
      </c>
      <c r="F29" s="4">
        <v>9.3000000000000007</v>
      </c>
      <c r="G29" s="4">
        <f t="shared" si="0"/>
        <v>7.0249999999999995</v>
      </c>
      <c r="H29" t="str">
        <f t="shared" si="1"/>
        <v>PASSOU</v>
      </c>
      <c r="I29" t="str">
        <f t="shared" si="2"/>
        <v>C</v>
      </c>
    </row>
    <row r="30" spans="1:9" x14ac:dyDescent="0.25">
      <c r="A30" t="s">
        <v>51</v>
      </c>
      <c r="B30" t="s">
        <v>22</v>
      </c>
      <c r="C30" s="4">
        <v>8.9</v>
      </c>
      <c r="D30" s="4">
        <v>7.4</v>
      </c>
      <c r="E30" s="4">
        <v>5.5</v>
      </c>
      <c r="F30" s="4">
        <v>8.1</v>
      </c>
      <c r="G30" s="4">
        <f t="shared" si="0"/>
        <v>7.4749999999999996</v>
      </c>
      <c r="H30" t="str">
        <f t="shared" si="1"/>
        <v>PASSOU</v>
      </c>
      <c r="I30" t="str">
        <f t="shared" si="2"/>
        <v>C</v>
      </c>
    </row>
    <row r="31" spans="1:9" x14ac:dyDescent="0.25">
      <c r="A31" t="s">
        <v>52</v>
      </c>
      <c r="B31" t="s">
        <v>24</v>
      </c>
      <c r="C31" s="4">
        <v>6.7</v>
      </c>
      <c r="D31" s="4">
        <v>8.9</v>
      </c>
      <c r="E31" s="4">
        <v>8</v>
      </c>
      <c r="F31" s="4">
        <v>5.7</v>
      </c>
      <c r="G31" s="4">
        <f t="shared" si="0"/>
        <v>7.3250000000000002</v>
      </c>
      <c r="H31" t="str">
        <f t="shared" si="1"/>
        <v>PASSOU</v>
      </c>
      <c r="I31" t="str">
        <f t="shared" si="2"/>
        <v>C</v>
      </c>
    </row>
    <row r="32" spans="1:9" x14ac:dyDescent="0.25">
      <c r="A32" t="s">
        <v>53</v>
      </c>
      <c r="B32" t="s">
        <v>26</v>
      </c>
      <c r="C32" s="4">
        <v>5.8</v>
      </c>
      <c r="D32" s="4">
        <v>5.4</v>
      </c>
      <c r="E32" s="4">
        <v>5.9</v>
      </c>
      <c r="F32" s="4">
        <v>5.9</v>
      </c>
      <c r="G32" s="4">
        <f t="shared" si="0"/>
        <v>5.75</v>
      </c>
      <c r="H32" t="str">
        <f t="shared" si="1"/>
        <v>REPROVADO</v>
      </c>
      <c r="I32" t="str">
        <f t="shared" si="2"/>
        <v>C</v>
      </c>
    </row>
    <row r="33" spans="1:9" x14ac:dyDescent="0.25">
      <c r="A33" t="s">
        <v>54</v>
      </c>
      <c r="B33" t="s">
        <v>28</v>
      </c>
      <c r="C33" s="4">
        <v>9.8000000000000007</v>
      </c>
      <c r="D33" s="4">
        <v>9.1999999999999993</v>
      </c>
      <c r="E33" s="4">
        <v>9.8000000000000007</v>
      </c>
      <c r="F33" s="4">
        <v>8.6999999999999993</v>
      </c>
      <c r="G33" s="4">
        <f t="shared" si="0"/>
        <v>9.375</v>
      </c>
      <c r="H33" t="str">
        <f t="shared" si="1"/>
        <v>PASSOU</v>
      </c>
      <c r="I33" t="str">
        <f t="shared" si="2"/>
        <v>C</v>
      </c>
    </row>
    <row r="34" spans="1:9" x14ac:dyDescent="0.25">
      <c r="A34" t="s">
        <v>55</v>
      </c>
      <c r="B34" t="s">
        <v>30</v>
      </c>
      <c r="C34" s="4">
        <v>7</v>
      </c>
      <c r="D34" s="4">
        <v>6</v>
      </c>
      <c r="E34" s="4">
        <v>7.5</v>
      </c>
      <c r="F34" s="4">
        <v>7.8</v>
      </c>
      <c r="G34" s="4">
        <f t="shared" si="0"/>
        <v>7.0750000000000002</v>
      </c>
      <c r="H34" t="str">
        <f t="shared" si="1"/>
        <v>PASSOU</v>
      </c>
      <c r="I34" t="str">
        <f t="shared" si="2"/>
        <v>C</v>
      </c>
    </row>
  </sheetData>
  <mergeCells count="2">
    <mergeCell ref="A1:F1"/>
    <mergeCell ref="K6:M6"/>
  </mergeCells>
  <conditionalFormatting sqref="G4:G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{915AED76-6403-42F1-B1D6-BB74315DF8DF}</x14:id>
        </ext>
      </extLst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34">
    <cfRule type="cellIs" dxfId="1" priority="2" operator="equal">
      <formula>"PASSOU"</formula>
    </cfRule>
    <cfRule type="cellIs" dxfId="0" priority="3" operator="equal">
      <formula>"REPROVADO"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Limpar">
                <anchor moveWithCells="1" sizeWithCells="1">
                  <from>
                    <xdr:col>10</xdr:col>
                    <xdr:colOff>9525</xdr:colOff>
                    <xdr:row>0</xdr:row>
                    <xdr:rowOff>85725</xdr:rowOff>
                  </from>
                  <to>
                    <xdr:col>12</xdr:col>
                    <xdr:colOff>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locked="0" defaultSize="0" print="0" autoFill="0" autoPict="0" macro="[0]!Preencher">
                <anchor moveWithCells="1" sizeWithCells="1">
                  <from>
                    <xdr:col>10</xdr:col>
                    <xdr:colOff>0</xdr:colOff>
                    <xdr:row>2</xdr:row>
                    <xdr:rowOff>28575</xdr:rowOff>
                  </from>
                  <to>
                    <xdr:col>11</xdr:col>
                    <xdr:colOff>600075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15AED76-6403-42F1-B1D6-BB74315DF8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G4:G34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Kaue</dc:creator>
  <cp:lastModifiedBy>Kaue</cp:lastModifiedBy>
  <dcterms:created xsi:type="dcterms:W3CDTF">2022-12-20T22:24:41Z</dcterms:created>
  <dcterms:modified xsi:type="dcterms:W3CDTF">2022-12-21T00:22:02Z</dcterms:modified>
</cp:coreProperties>
</file>